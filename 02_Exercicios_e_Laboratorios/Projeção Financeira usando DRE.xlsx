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cor\Dropbox\___Aulas FIAP 2026\5EC\"/>
    </mc:Choice>
  </mc:AlternateContent>
  <xr:revisionPtr revIDLastSave="0" documentId="13_ncr:1_{70580884-99DD-46C7-826F-6870FD0EED9F}" xr6:coauthVersionLast="47" xr6:coauthVersionMax="47" xr10:uidLastSave="{00000000-0000-0000-0000-000000000000}"/>
  <bookViews>
    <workbookView xWindow="-28920" yWindow="-120" windowWidth="29040" windowHeight="16440" xr2:uid="{79D0D91A-C720-4FE5-B573-48B933AD4022}"/>
  </bookViews>
  <sheets>
    <sheet name="Modelo Venda" sheetId="5" r:id="rId1"/>
    <sheet name="Modelo Serviços e Manutenção" sheetId="1" r:id="rId2"/>
    <sheet name="Simulação Serviços" sheetId="2" r:id="rId3"/>
    <sheet name="Analise de Investiment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5" l="1"/>
  <c r="C17" i="5"/>
  <c r="C14" i="5" s="1"/>
  <c r="C4" i="5"/>
  <c r="C8" i="5"/>
  <c r="C27" i="5"/>
  <c r="E4" i="5"/>
  <c r="F4" i="5"/>
  <c r="G4" i="5"/>
  <c r="H4" i="5"/>
  <c r="I4" i="5"/>
  <c r="D4" i="5"/>
  <c r="I14" i="5"/>
  <c r="H14" i="5"/>
  <c r="G14" i="5"/>
  <c r="F14" i="5"/>
  <c r="E14" i="5"/>
  <c r="D14" i="5"/>
  <c r="I10" i="5"/>
  <c r="H10" i="5"/>
  <c r="G10" i="5"/>
  <c r="F10" i="5"/>
  <c r="E10" i="5"/>
  <c r="D10" i="5"/>
  <c r="I9" i="5"/>
  <c r="H9" i="5"/>
  <c r="G9" i="5"/>
  <c r="F9" i="5"/>
  <c r="E9" i="5"/>
  <c r="D9" i="5"/>
  <c r="E6" i="1"/>
  <c r="F6" i="1" s="1"/>
  <c r="G6" i="1" s="1"/>
  <c r="H6" i="1" s="1"/>
  <c r="I6" i="1" s="1"/>
  <c r="I8" i="1" s="1"/>
  <c r="I4" i="1" s="1"/>
  <c r="D6" i="1"/>
  <c r="D8" i="1" s="1"/>
  <c r="D4" i="1" s="1"/>
  <c r="E11" i="1"/>
  <c r="F11" i="1"/>
  <c r="G11" i="1"/>
  <c r="H11" i="1"/>
  <c r="I11" i="1"/>
  <c r="E12" i="1"/>
  <c r="F12" i="1"/>
  <c r="G12" i="1"/>
  <c r="H12" i="1"/>
  <c r="I12" i="1"/>
  <c r="D12" i="1"/>
  <c r="D11" i="1"/>
  <c r="D16" i="1"/>
  <c r="E16" i="1"/>
  <c r="F16" i="1"/>
  <c r="G16" i="1"/>
  <c r="H16" i="1"/>
  <c r="I16" i="1"/>
  <c r="C16" i="1"/>
  <c r="C13" i="4"/>
  <c r="E18" i="2"/>
  <c r="E14" i="2" s="1"/>
  <c r="H18" i="2"/>
  <c r="H14" i="2" s="1"/>
  <c r="I18" i="2"/>
  <c r="I14" i="2" s="1"/>
  <c r="C25" i="2"/>
  <c r="F18" i="2" s="1"/>
  <c r="F14" i="2" s="1"/>
  <c r="E10" i="2"/>
  <c r="F10" i="2"/>
  <c r="G10" i="2"/>
  <c r="H10" i="2"/>
  <c r="I10" i="2"/>
  <c r="E9" i="2"/>
  <c r="F9" i="2"/>
  <c r="G9" i="2"/>
  <c r="H9" i="2"/>
  <c r="I9" i="2"/>
  <c r="D9" i="2"/>
  <c r="D10" i="2"/>
  <c r="E6" i="2"/>
  <c r="F6" i="2"/>
  <c r="G6" i="2"/>
  <c r="H6" i="2"/>
  <c r="I6" i="2"/>
  <c r="D6" i="2"/>
  <c r="E26" i="5" l="1"/>
  <c r="F26" i="5" s="1"/>
  <c r="C12" i="5"/>
  <c r="F8" i="5"/>
  <c r="I8" i="5"/>
  <c r="G8" i="5"/>
  <c r="E8" i="5"/>
  <c r="E12" i="5" s="1"/>
  <c r="E21" i="5" s="1"/>
  <c r="D8" i="5"/>
  <c r="H8" i="5"/>
  <c r="H10" i="1"/>
  <c r="E8" i="1"/>
  <c r="E4" i="1" s="1"/>
  <c r="E10" i="1"/>
  <c r="G8" i="1"/>
  <c r="G4" i="1" s="1"/>
  <c r="F8" i="1"/>
  <c r="F4" i="1" s="1"/>
  <c r="H8" i="1"/>
  <c r="H4" i="1" s="1"/>
  <c r="D10" i="1"/>
  <c r="G10" i="1"/>
  <c r="F10" i="1"/>
  <c r="F14" i="1" s="1"/>
  <c r="F23" i="1" s="1"/>
  <c r="I10" i="1"/>
  <c r="I14" i="1" s="1"/>
  <c r="I23" i="1" s="1"/>
  <c r="D14" i="1"/>
  <c r="D23" i="1" s="1"/>
  <c r="D24" i="1" s="1"/>
  <c r="G18" i="2"/>
  <c r="G14" i="2" s="1"/>
  <c r="D18" i="2"/>
  <c r="D14" i="2" s="1"/>
  <c r="D5" i="4"/>
  <c r="D6" i="4" s="1"/>
  <c r="D7" i="4" s="1"/>
  <c r="D8" i="4" s="1"/>
  <c r="D9" i="4" s="1"/>
  <c r="D10" i="4" s="1"/>
  <c r="D11" i="4" s="1"/>
  <c r="D12" i="4" s="1"/>
  <c r="D12" i="5" l="1"/>
  <c r="D21" i="5" s="1"/>
  <c r="D22" i="5" s="1"/>
  <c r="E22" i="5" s="1"/>
  <c r="F12" i="5"/>
  <c r="F21" i="5" s="1"/>
  <c r="H14" i="1"/>
  <c r="H23" i="1" s="1"/>
  <c r="E14" i="1"/>
  <c r="E23" i="1" s="1"/>
  <c r="E24" i="1" s="1"/>
  <c r="F24" i="1" s="1"/>
  <c r="G14" i="1"/>
  <c r="G23" i="1" s="1"/>
  <c r="E8" i="2"/>
  <c r="F8" i="2"/>
  <c r="G8" i="2"/>
  <c r="H8" i="2"/>
  <c r="I8" i="2"/>
  <c r="D8" i="2"/>
  <c r="E4" i="2"/>
  <c r="F4" i="2"/>
  <c r="G4" i="2"/>
  <c r="H4" i="2"/>
  <c r="I4" i="2"/>
  <c r="D4" i="2"/>
  <c r="F22" i="5" l="1"/>
  <c r="G12" i="5"/>
  <c r="G21" i="5" s="1"/>
  <c r="G24" i="1"/>
  <c r="H24" i="1" s="1"/>
  <c r="I24" i="1" s="1"/>
  <c r="H12" i="2"/>
  <c r="H20" i="2" s="1"/>
  <c r="I12" i="2"/>
  <c r="I20" i="2" s="1"/>
  <c r="E12" i="2"/>
  <c r="E20" i="2" s="1"/>
  <c r="G12" i="2"/>
  <c r="G20" i="2" s="1"/>
  <c r="D12" i="2"/>
  <c r="D20" i="2" s="1"/>
  <c r="D21" i="2" s="1"/>
  <c r="F12" i="2"/>
  <c r="F20" i="2" s="1"/>
  <c r="G22" i="5" l="1"/>
  <c r="H12" i="5"/>
  <c r="H21" i="5" s="1"/>
  <c r="E21" i="2"/>
  <c r="F21" i="2" s="1"/>
  <c r="G21" i="2" s="1"/>
  <c r="H21" i="2" s="1"/>
  <c r="I21" i="2" s="1"/>
  <c r="I12" i="5" l="1"/>
  <c r="H22" i="5"/>
  <c r="I22" i="5" l="1"/>
</calcChain>
</file>

<file path=xl/sharedStrings.xml><?xml version="1.0" encoding="utf-8"?>
<sst xmlns="http://schemas.openxmlformats.org/spreadsheetml/2006/main" count="80" uniqueCount="44">
  <si>
    <t>DRE SIMPLIFICADO (BASEADO NO MODELO DE CUSTEIO VARIAVEL)</t>
  </si>
  <si>
    <t>RECEITAS</t>
  </si>
  <si>
    <t>PERÍODO 1</t>
  </si>
  <si>
    <t>PERÍODO 2</t>
  </si>
  <si>
    <t>PERÍODO 3</t>
  </si>
  <si>
    <t>PERÍODO 4</t>
  </si>
  <si>
    <t>PERÍODO 5</t>
  </si>
  <si>
    <t>(-) CUSTOS VARIÁVEIS</t>
  </si>
  <si>
    <t>(=) MARGEM DE CONTRIBUIÇÃO</t>
  </si>
  <si>
    <t>(-) CUSTOS FIXOS</t>
  </si>
  <si>
    <t>(=) RESULTADO (LUCRO OU PREJUIZO)</t>
  </si>
  <si>
    <t>PERÍODO ...</t>
  </si>
  <si>
    <t>Aluguel</t>
  </si>
  <si>
    <t>Salarios</t>
  </si>
  <si>
    <t>VPL</t>
  </si>
  <si>
    <t>Payback</t>
  </si>
  <si>
    <t>PROJETO A</t>
  </si>
  <si>
    <t>Unidades Vendidas</t>
  </si>
  <si>
    <t>Aluguel de Máquinas</t>
  </si>
  <si>
    <r>
      <rPr>
        <b/>
        <sz val="11"/>
        <color theme="1"/>
        <rFont val="Calibri"/>
        <family val="2"/>
        <scheme val="minor"/>
      </rPr>
      <t>ACUMULADO</t>
    </r>
    <r>
      <rPr>
        <sz val="11"/>
        <color theme="1"/>
        <rFont val="Calibri"/>
        <family val="2"/>
        <scheme val="minor"/>
      </rPr>
      <t xml:space="preserve"> (NECESSIDADE DE CAIXA)</t>
    </r>
  </si>
  <si>
    <r>
      <t>(=) RESULTADO</t>
    </r>
    <r>
      <rPr>
        <sz val="11"/>
        <color theme="1"/>
        <rFont val="Calibri"/>
        <family val="2"/>
        <scheme val="minor"/>
      </rPr>
      <t xml:space="preserve"> (LUCRO OU PREJUIZO)</t>
    </r>
  </si>
  <si>
    <t>Preço de Venda Unitario</t>
  </si>
  <si>
    <t>R$ Unitarios</t>
  </si>
  <si>
    <t>Investimento inicial em SW</t>
  </si>
  <si>
    <t>Amortização do Investimento Inicial</t>
  </si>
  <si>
    <t>Período de Amortização (em meses)</t>
  </si>
  <si>
    <t>Amortização Mensal</t>
  </si>
  <si>
    <t>Selic (Custo do Capital)</t>
  </si>
  <si>
    <t>Hospedagem</t>
  </si>
  <si>
    <t>Comissão para vendedor</t>
  </si>
  <si>
    <t>Produto+embalagem</t>
  </si>
  <si>
    <t>Quantidade novos clientes</t>
  </si>
  <si>
    <t>Clientes acumulados</t>
  </si>
  <si>
    <t>Assinatura mensal</t>
  </si>
  <si>
    <t>Marketing</t>
  </si>
  <si>
    <t>Amortização do investimento inicial</t>
  </si>
  <si>
    <t>6 Anos</t>
  </si>
  <si>
    <t>Instalação</t>
  </si>
  <si>
    <t>Comissão</t>
  </si>
  <si>
    <t>Instalação (terceiros)</t>
  </si>
  <si>
    <t>Valor de Contratação</t>
  </si>
  <si>
    <t>Ponto de Equilibrio</t>
  </si>
  <si>
    <r>
      <t>DRE SIMPLIFICADO (BASEADO NO MODELO DE</t>
    </r>
    <r>
      <rPr>
        <b/>
        <sz val="14"/>
        <color rgb="FFFF0000"/>
        <rFont val="Calibri"/>
        <family val="2"/>
        <scheme val="minor"/>
      </rPr>
      <t xml:space="preserve"> CUSTEIO VARIAVEL</t>
    </r>
    <r>
      <rPr>
        <b/>
        <sz val="14"/>
        <color theme="1"/>
        <rFont val="Calibri"/>
        <family val="2"/>
        <scheme val="minor"/>
      </rPr>
      <t>)</t>
    </r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</si>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</sst>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_ ;[Red]\-#,##0\ "/>
    <numFmt numFmtId="167" formatCode="0.0%"/>
    <numFmt numFmtId="168" formatCode="#,##0.00_ ;[Red]\-#,##0.00\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5" xfId="0" applyBorder="1"/>
    <xf numFmtId="0" fontId="1" fillId="3" borderId="6" xfId="0" applyFont="1" applyFill="1" applyBorder="1"/>
    <xf numFmtId="0" fontId="0" fillId="0" borderId="6" xfId="0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2" borderId="1" xfId="0" applyFont="1" applyFill="1" applyBorder="1" applyAlignment="1">
      <alignment horizontal="center"/>
    </xf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4" borderId="1" xfId="1" applyNumberFormat="1" applyFont="1" applyFill="1" applyBorder="1"/>
    <xf numFmtId="166" fontId="0" fillId="4" borderId="8" xfId="1" applyNumberFormat="1" applyFont="1" applyFill="1" applyBorder="1"/>
    <xf numFmtId="0" fontId="0" fillId="0" borderId="0" xfId="0" applyAlignment="1">
      <alignment horizontal="center"/>
    </xf>
    <xf numFmtId="43" fontId="0" fillId="0" borderId="0" xfId="1" applyFont="1"/>
    <xf numFmtId="0" fontId="6" fillId="0" borderId="0" xfId="0" applyFont="1" applyAlignment="1">
      <alignment horizontal="center"/>
    </xf>
    <xf numFmtId="43" fontId="6" fillId="0" borderId="0" xfId="1" applyFont="1"/>
    <xf numFmtId="0" fontId="5" fillId="0" borderId="0" xfId="0" applyFont="1" applyAlignment="1">
      <alignment horizontal="center"/>
    </xf>
    <xf numFmtId="43" fontId="5" fillId="0" borderId="0" xfId="1" applyFont="1"/>
    <xf numFmtId="167" fontId="0" fillId="0" borderId="0" xfId="0" applyNumberFormat="1"/>
    <xf numFmtId="43" fontId="0" fillId="0" borderId="0" xfId="1" applyFont="1" applyAlignment="1">
      <alignment horizontal="right"/>
    </xf>
    <xf numFmtId="8" fontId="0" fillId="0" borderId="0" xfId="1" applyNumberFormat="1" applyFont="1"/>
    <xf numFmtId="43" fontId="0" fillId="0" borderId="0" xfId="0" applyNumberFormat="1"/>
    <xf numFmtId="43" fontId="5" fillId="0" borderId="0" xfId="0" applyNumberFormat="1" applyFont="1"/>
    <xf numFmtId="0" fontId="5" fillId="0" borderId="1" xfId="0" applyFont="1" applyBorder="1" applyAlignment="1">
      <alignment horizontal="center"/>
    </xf>
    <xf numFmtId="43" fontId="5" fillId="0" borderId="1" xfId="1" applyFont="1" applyBorder="1"/>
    <xf numFmtId="43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43" fontId="6" fillId="0" borderId="1" xfId="1" applyFont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8" fontId="0" fillId="0" borderId="1" xfId="1" applyNumberFormat="1" applyFont="1" applyBorder="1"/>
    <xf numFmtId="43" fontId="0" fillId="0" borderId="1" xfId="1" applyFont="1" applyBorder="1" applyAlignment="1">
      <alignment horizontal="right"/>
    </xf>
    <xf numFmtId="167" fontId="0" fillId="0" borderId="1" xfId="0" applyNumberFormat="1" applyBorder="1"/>
    <xf numFmtId="0" fontId="1" fillId="4" borderId="10" xfId="0" applyFont="1" applyFill="1" applyBorder="1"/>
    <xf numFmtId="0" fontId="0" fillId="0" borderId="12" xfId="0" applyBorder="1" applyAlignment="1">
      <alignment horizontal="right"/>
    </xf>
    <xf numFmtId="0" fontId="1" fillId="3" borderId="15" xfId="0" applyFont="1" applyFill="1" applyBorder="1"/>
    <xf numFmtId="0" fontId="0" fillId="0" borderId="15" xfId="0" applyBorder="1"/>
    <xf numFmtId="0" fontId="1" fillId="4" borderId="15" xfId="0" applyFont="1" applyFill="1" applyBorder="1"/>
    <xf numFmtId="0" fontId="1" fillId="4" borderId="17" xfId="0" applyFont="1" applyFill="1" applyBorder="1"/>
    <xf numFmtId="0" fontId="0" fillId="0" borderId="18" xfId="0" applyBorder="1" applyAlignment="1">
      <alignment horizontal="right"/>
    </xf>
    <xf numFmtId="0" fontId="1" fillId="0" borderId="1" xfId="0" applyFont="1" applyBorder="1"/>
    <xf numFmtId="43" fontId="1" fillId="0" borderId="1" xfId="1" applyFont="1" applyBorder="1"/>
    <xf numFmtId="43" fontId="1" fillId="0" borderId="1" xfId="0" applyNumberFormat="1" applyFont="1" applyBorder="1"/>
    <xf numFmtId="168" fontId="0" fillId="0" borderId="13" xfId="1" applyNumberFormat="1" applyFont="1" applyBorder="1"/>
    <xf numFmtId="168" fontId="0" fillId="0" borderId="14" xfId="1" applyNumberFormat="1" applyFont="1" applyBorder="1"/>
    <xf numFmtId="43" fontId="0" fillId="0" borderId="15" xfId="1" applyFont="1" applyBorder="1"/>
    <xf numFmtId="43" fontId="0" fillId="0" borderId="16" xfId="1" applyFont="1" applyFill="1" applyBorder="1"/>
    <xf numFmtId="0" fontId="0" fillId="0" borderId="12" xfId="0" applyBorder="1" applyAlignment="1">
      <alignment horizontal="left"/>
    </xf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4" borderId="11" xfId="0" applyNumberFormat="1" applyFill="1" applyBorder="1"/>
    <xf numFmtId="43" fontId="1" fillId="3" borderId="15" xfId="1" applyFont="1" applyFill="1" applyBorder="1"/>
    <xf numFmtId="43" fontId="0" fillId="0" borderId="1" xfId="1" applyFont="1" applyBorder="1"/>
    <xf numFmtId="43" fontId="0" fillId="0" borderId="13" xfId="1" applyFont="1" applyBorder="1"/>
    <xf numFmtId="43" fontId="0" fillId="0" borderId="13" xfId="1" applyFont="1" applyFill="1" applyBorder="1"/>
    <xf numFmtId="43" fontId="0" fillId="6" borderId="13" xfId="1" applyFont="1" applyFill="1" applyBorder="1"/>
    <xf numFmtId="0" fontId="7" fillId="0" borderId="15" xfId="0" applyFont="1" applyBorder="1"/>
    <xf numFmtId="43" fontId="0" fillId="7" borderId="15" xfId="1" applyFont="1" applyFill="1" applyBorder="1"/>
    <xf numFmtId="43" fontId="0" fillId="0" borderId="14" xfId="1" applyFont="1" applyFill="1" applyBorder="1"/>
    <xf numFmtId="0" fontId="0" fillId="8" borderId="6" xfId="0" applyFill="1" applyBorder="1"/>
    <xf numFmtId="43" fontId="0" fillId="8" borderId="15" xfId="1" applyFont="1" applyFill="1" applyBorder="1"/>
    <xf numFmtId="43" fontId="8" fillId="0" borderId="0" xfId="1" applyFont="1" applyFill="1" applyBorder="1"/>
    <xf numFmtId="0" fontId="0" fillId="9" borderId="9" xfId="0" applyFill="1" applyBorder="1"/>
    <xf numFmtId="0" fontId="0" fillId="9" borderId="6" xfId="0" applyFill="1" applyBorder="1"/>
    <xf numFmtId="43" fontId="8" fillId="7" borderId="1" xfId="1" applyFont="1" applyFill="1" applyBorder="1"/>
    <xf numFmtId="43" fontId="0" fillId="0" borderId="15" xfId="1" applyFont="1" applyFill="1" applyBorder="1"/>
    <xf numFmtId="0" fontId="0" fillId="10" borderId="6" xfId="0" applyFill="1" applyBorder="1"/>
    <xf numFmtId="43" fontId="8" fillId="11" borderId="1" xfId="0" applyNumberFormat="1" applyFont="1" applyFill="1" applyBorder="1"/>
    <xf numFmtId="168" fontId="9" fillId="4" borderId="11" xfId="0" applyNumberFormat="1" applyFont="1" applyFill="1" applyBorder="1"/>
    <xf numFmtId="0" fontId="11" fillId="0" borderId="1" xfId="0" applyFont="1" applyBorder="1"/>
    <xf numFmtId="43" fontId="1" fillId="6" borderId="1" xfId="1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6" xfId="0" applyFont="1" applyBorder="1"/>
    <xf numFmtId="0" fontId="7" fillId="0" borderId="1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8DCF-6878-4557-A879-01FF191DD8EA}">
  <dimension ref="B1:L27"/>
  <sheetViews>
    <sheetView tabSelected="1" topLeftCell="A6" zoomScale="160" zoomScaleNormal="160" workbookViewId="0">
      <selection activeCell="D29" sqref="D29"/>
    </sheetView>
  </sheetViews>
  <sheetFormatPr defaultRowHeight="14.4" x14ac:dyDescent="0.3"/>
  <cols>
    <col min="1" max="1" width="3.33203125" customWidth="1"/>
    <col min="2" max="2" width="36.77734375" customWidth="1"/>
    <col min="3" max="3" width="11.77734375" bestFit="1" customWidth="1"/>
    <col min="4" max="9" width="11.77734375" customWidth="1"/>
  </cols>
  <sheetData>
    <row r="1" spans="2:12" ht="15" thickBot="1" x14ac:dyDescent="0.35"/>
    <row r="2" spans="2:12" ht="18.600000000000001" thickBot="1" x14ac:dyDescent="0.4">
      <c r="B2" s="72" t="s">
        <v>42</v>
      </c>
      <c r="C2" s="73"/>
      <c r="D2" s="73"/>
      <c r="E2" s="73"/>
      <c r="F2" s="73"/>
      <c r="G2" s="73"/>
      <c r="H2" s="73"/>
      <c r="I2" s="74"/>
    </row>
    <row r="3" spans="2:12" x14ac:dyDescent="0.3">
      <c r="B3" s="2"/>
      <c r="C3" s="7" t="s">
        <v>22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11</v>
      </c>
    </row>
    <row r="4" spans="2:12" x14ac:dyDescent="0.3">
      <c r="B4" s="3" t="s">
        <v>1</v>
      </c>
      <c r="C4" s="49">
        <f>C6</f>
        <v>250</v>
      </c>
      <c r="D4" s="49">
        <f>(D5*D6)</f>
        <v>2100</v>
      </c>
      <c r="E4" s="49">
        <f t="shared" ref="E4:I4" si="0">(E5*E6)</f>
        <v>10500</v>
      </c>
      <c r="F4" s="49">
        <f t="shared" si="0"/>
        <v>16800</v>
      </c>
      <c r="G4" s="49">
        <f t="shared" si="0"/>
        <v>25200</v>
      </c>
      <c r="H4" s="49">
        <f t="shared" si="0"/>
        <v>31500</v>
      </c>
      <c r="I4" s="49">
        <f t="shared" si="0"/>
        <v>42000</v>
      </c>
    </row>
    <row r="5" spans="2:12" x14ac:dyDescent="0.3">
      <c r="B5" s="67" t="s">
        <v>31</v>
      </c>
      <c r="C5" s="37"/>
      <c r="D5" s="41">
        <v>10</v>
      </c>
      <c r="E5" s="41">
        <v>50</v>
      </c>
      <c r="F5" s="41">
        <v>80</v>
      </c>
      <c r="G5" s="70">
        <v>120</v>
      </c>
      <c r="H5" s="41">
        <v>150</v>
      </c>
      <c r="I5" s="41">
        <v>200</v>
      </c>
    </row>
    <row r="6" spans="2:12" x14ac:dyDescent="0.3">
      <c r="B6" s="67" t="s">
        <v>43</v>
      </c>
      <c r="C6" s="66">
        <v>250</v>
      </c>
      <c r="D6" s="66">
        <v>210</v>
      </c>
      <c r="E6" s="66">
        <v>210</v>
      </c>
      <c r="F6" s="66">
        <v>210</v>
      </c>
      <c r="G6" s="66">
        <v>210</v>
      </c>
      <c r="H6" s="66">
        <v>210</v>
      </c>
      <c r="I6" s="66">
        <v>210</v>
      </c>
    </row>
    <row r="7" spans="2:12" x14ac:dyDescent="0.3">
      <c r="B7" s="67"/>
      <c r="C7" s="37"/>
      <c r="D7" s="66"/>
      <c r="E7" s="66"/>
      <c r="F7" s="66"/>
      <c r="G7" s="66"/>
      <c r="H7" s="66"/>
      <c r="I7" s="66"/>
    </row>
    <row r="8" spans="2:12" x14ac:dyDescent="0.3">
      <c r="B8" s="3" t="s">
        <v>7</v>
      </c>
      <c r="C8" s="49">
        <f>SUM(C9:C11)</f>
        <v>54</v>
      </c>
      <c r="D8" s="49">
        <f>SUM(D9:D11)</f>
        <v>540</v>
      </c>
      <c r="E8" s="49">
        <f t="shared" ref="E8:I8" si="1">SUM(E9:E11)</f>
        <v>2700</v>
      </c>
      <c r="F8" s="49">
        <f t="shared" si="1"/>
        <v>4320</v>
      </c>
      <c r="G8" s="49">
        <f t="shared" si="1"/>
        <v>6480</v>
      </c>
      <c r="H8" s="49">
        <f t="shared" si="1"/>
        <v>8100</v>
      </c>
      <c r="I8" s="49">
        <f t="shared" si="1"/>
        <v>10800</v>
      </c>
    </row>
    <row r="9" spans="2:12" x14ac:dyDescent="0.3">
      <c r="B9" s="4" t="s">
        <v>29</v>
      </c>
      <c r="C9" s="46">
        <v>4</v>
      </c>
      <c r="D9" s="46">
        <f t="shared" ref="D9:I9" si="2">D5*$C$9</f>
        <v>40</v>
      </c>
      <c r="E9" s="46">
        <f t="shared" si="2"/>
        <v>200</v>
      </c>
      <c r="F9" s="46">
        <f t="shared" si="2"/>
        <v>320</v>
      </c>
      <c r="G9" s="46">
        <f t="shared" si="2"/>
        <v>480</v>
      </c>
      <c r="H9" s="46">
        <f t="shared" si="2"/>
        <v>600</v>
      </c>
      <c r="I9" s="46">
        <f t="shared" si="2"/>
        <v>800</v>
      </c>
      <c r="K9" s="75"/>
      <c r="L9" s="75"/>
    </row>
    <row r="10" spans="2:12" ht="15.6" x14ac:dyDescent="0.3">
      <c r="B10" s="4" t="s">
        <v>30</v>
      </c>
      <c r="C10" s="46">
        <v>50</v>
      </c>
      <c r="D10" s="46">
        <f t="shared" ref="D10:I10" si="3">D5*$C$10</f>
        <v>500</v>
      </c>
      <c r="E10" s="46">
        <f t="shared" si="3"/>
        <v>2500</v>
      </c>
      <c r="F10" s="46">
        <f t="shared" si="3"/>
        <v>4000</v>
      </c>
      <c r="G10" s="46">
        <f t="shared" si="3"/>
        <v>6000</v>
      </c>
      <c r="H10" s="46">
        <f t="shared" si="3"/>
        <v>7500</v>
      </c>
      <c r="I10" s="46">
        <f t="shared" si="3"/>
        <v>10000</v>
      </c>
      <c r="K10" s="62"/>
    </row>
    <row r="11" spans="2:12" x14ac:dyDescent="0.3">
      <c r="B11" s="67"/>
      <c r="C11" s="37"/>
      <c r="D11" s="1"/>
      <c r="E11" s="1"/>
      <c r="F11" s="1"/>
      <c r="G11" s="1"/>
      <c r="H11" s="1"/>
      <c r="I11" s="1"/>
    </row>
    <row r="12" spans="2:12" x14ac:dyDescent="0.3">
      <c r="B12" s="3" t="s">
        <v>8</v>
      </c>
      <c r="C12" s="49">
        <f t="shared" ref="C12:I12" si="4">C4-C8</f>
        <v>196</v>
      </c>
      <c r="D12" s="49">
        <f t="shared" si="4"/>
        <v>1560</v>
      </c>
      <c r="E12" s="49">
        <f t="shared" si="4"/>
        <v>7800</v>
      </c>
      <c r="F12" s="49">
        <f t="shared" si="4"/>
        <v>12480</v>
      </c>
      <c r="G12" s="49">
        <f t="shared" si="4"/>
        <v>18720</v>
      </c>
      <c r="H12" s="49">
        <f t="shared" si="4"/>
        <v>23400</v>
      </c>
      <c r="I12" s="49">
        <f t="shared" si="4"/>
        <v>31200</v>
      </c>
    </row>
    <row r="13" spans="2:12" x14ac:dyDescent="0.3">
      <c r="B13" s="4"/>
      <c r="C13" s="37"/>
      <c r="D13" s="1"/>
      <c r="E13" s="1"/>
      <c r="F13" s="1"/>
      <c r="G13" s="1"/>
      <c r="H13" s="1"/>
      <c r="I13" s="1"/>
    </row>
    <row r="14" spans="2:12" x14ac:dyDescent="0.3">
      <c r="B14" s="3" t="s">
        <v>9</v>
      </c>
      <c r="C14" s="52">
        <f>SUM(C15:C20)</f>
        <v>16500</v>
      </c>
      <c r="D14" s="52">
        <f t="shared" ref="D14:I14" si="5">SUM(D15:D20)</f>
        <v>15500</v>
      </c>
      <c r="E14" s="52">
        <f t="shared" si="5"/>
        <v>15500</v>
      </c>
      <c r="F14" s="52">
        <f t="shared" si="5"/>
        <v>15500</v>
      </c>
      <c r="G14" s="52">
        <f t="shared" si="5"/>
        <v>15500</v>
      </c>
      <c r="H14" s="52">
        <f t="shared" si="5"/>
        <v>15500</v>
      </c>
      <c r="I14" s="52">
        <f t="shared" si="5"/>
        <v>15500</v>
      </c>
    </row>
    <row r="15" spans="2:12" x14ac:dyDescent="0.3">
      <c r="B15" s="4" t="s">
        <v>28</v>
      </c>
      <c r="C15" s="46">
        <v>1500</v>
      </c>
      <c r="D15" s="46">
        <v>1500</v>
      </c>
      <c r="E15" s="46">
        <v>1500</v>
      </c>
      <c r="F15" s="46">
        <v>1500</v>
      </c>
      <c r="G15" s="46">
        <v>1500</v>
      </c>
      <c r="H15" s="46">
        <v>1500</v>
      </c>
      <c r="I15" s="46">
        <v>1500</v>
      </c>
    </row>
    <row r="16" spans="2:12" x14ac:dyDescent="0.3">
      <c r="B16" s="4" t="s">
        <v>13</v>
      </c>
      <c r="C16" s="46">
        <v>8000</v>
      </c>
      <c r="D16" s="46">
        <v>7000</v>
      </c>
      <c r="E16" s="46">
        <v>7000</v>
      </c>
      <c r="F16" s="46">
        <v>7000</v>
      </c>
      <c r="G16" s="46">
        <v>7000</v>
      </c>
      <c r="H16" s="46">
        <v>7000</v>
      </c>
      <c r="I16" s="46">
        <v>7000</v>
      </c>
    </row>
    <row r="17" spans="2:9" x14ac:dyDescent="0.3">
      <c r="B17" s="77" t="s">
        <v>35</v>
      </c>
      <c r="C17" s="46">
        <f>C27</f>
        <v>5000</v>
      </c>
      <c r="D17" s="46">
        <v>5000</v>
      </c>
      <c r="E17" s="46">
        <v>5000</v>
      </c>
      <c r="F17" s="46">
        <v>5000</v>
      </c>
      <c r="G17" s="46">
        <v>5000</v>
      </c>
      <c r="H17" s="46">
        <v>5000</v>
      </c>
      <c r="I17" s="46">
        <v>5000</v>
      </c>
    </row>
    <row r="18" spans="2:9" x14ac:dyDescent="0.3">
      <c r="B18" s="4" t="s">
        <v>34</v>
      </c>
      <c r="C18" s="53">
        <v>2000</v>
      </c>
      <c r="D18" s="53">
        <v>2000</v>
      </c>
      <c r="E18" s="53">
        <v>2000</v>
      </c>
      <c r="F18" s="53">
        <v>2000</v>
      </c>
      <c r="G18" s="53">
        <v>2000</v>
      </c>
      <c r="H18" s="53">
        <v>2000</v>
      </c>
      <c r="I18" s="53">
        <v>2000</v>
      </c>
    </row>
    <row r="19" spans="2:9" x14ac:dyDescent="0.3">
      <c r="B19" s="67"/>
      <c r="C19" s="53"/>
      <c r="D19" s="53"/>
      <c r="E19" s="1"/>
      <c r="F19" s="1"/>
      <c r="G19" s="1"/>
      <c r="H19" s="1"/>
      <c r="I19" s="1"/>
    </row>
    <row r="20" spans="2:9" x14ac:dyDescent="0.3">
      <c r="B20" s="67"/>
      <c r="C20" s="37"/>
      <c r="D20" s="53"/>
      <c r="E20" s="1"/>
      <c r="F20" s="1"/>
      <c r="G20" s="1"/>
      <c r="H20" s="1"/>
      <c r="I20" s="1"/>
    </row>
    <row r="21" spans="2:9" ht="15" thickBot="1" x14ac:dyDescent="0.35">
      <c r="B21" s="34" t="s">
        <v>20</v>
      </c>
      <c r="C21" s="39"/>
      <c r="D21" s="69">
        <f>D12-D14</f>
        <v>-13940</v>
      </c>
      <c r="E21" s="69">
        <f t="shared" ref="E21:I21" si="6">E12-E14</f>
        <v>-7700</v>
      </c>
      <c r="F21" s="69">
        <f t="shared" si="6"/>
        <v>-3020</v>
      </c>
      <c r="G21" s="69">
        <f t="shared" si="6"/>
        <v>3220</v>
      </c>
      <c r="H21" s="69">
        <f t="shared" si="6"/>
        <v>7900</v>
      </c>
      <c r="I21" s="69">
        <f t="shared" si="6"/>
        <v>15700</v>
      </c>
    </row>
    <row r="22" spans="2:9" ht="15" thickBot="1" x14ac:dyDescent="0.35">
      <c r="B22" s="35" t="s">
        <v>19</v>
      </c>
      <c r="C22" s="40"/>
      <c r="D22" s="55">
        <f>D21</f>
        <v>-13940</v>
      </c>
      <c r="E22" s="55">
        <f>D22+E21</f>
        <v>-21640</v>
      </c>
      <c r="F22" s="55">
        <f t="shared" ref="F22:I22" si="7">E22+F21</f>
        <v>-24660</v>
      </c>
      <c r="G22" s="55">
        <f t="shared" si="7"/>
        <v>-21440</v>
      </c>
      <c r="H22" s="55">
        <f t="shared" si="7"/>
        <v>-13540</v>
      </c>
      <c r="I22" s="59">
        <f t="shared" si="7"/>
        <v>2160</v>
      </c>
    </row>
    <row r="25" spans="2:9" x14ac:dyDescent="0.3">
      <c r="B25" s="41" t="s">
        <v>23</v>
      </c>
      <c r="C25" s="71">
        <v>100000</v>
      </c>
      <c r="E25" s="76" t="s">
        <v>41</v>
      </c>
      <c r="F25" s="76"/>
    </row>
    <row r="26" spans="2:9" ht="15.6" x14ac:dyDescent="0.3">
      <c r="B26" s="1" t="s">
        <v>25</v>
      </c>
      <c r="C26" s="1">
        <v>20</v>
      </c>
      <c r="E26" s="65">
        <f>$C$14/($C$6-$C$8)</f>
        <v>84.183673469387756</v>
      </c>
      <c r="F26" s="68">
        <f>ROUNDUP(E26,0)</f>
        <v>85</v>
      </c>
    </row>
    <row r="27" spans="2:9" x14ac:dyDescent="0.3">
      <c r="B27" s="78" t="s">
        <v>26</v>
      </c>
      <c r="C27" s="43">
        <f>C25/C26</f>
        <v>5000</v>
      </c>
    </row>
  </sheetData>
  <mergeCells count="3">
    <mergeCell ref="B2:I2"/>
    <mergeCell ref="K9:L9"/>
    <mergeCell ref="E25:F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26F6-B89E-4191-92CF-ED362B83BDE6}">
  <dimension ref="B1:I24"/>
  <sheetViews>
    <sheetView zoomScale="145" zoomScaleNormal="145" workbookViewId="0">
      <selection activeCell="E8" sqref="E8"/>
    </sheetView>
  </sheetViews>
  <sheetFormatPr defaultRowHeight="14.4" x14ac:dyDescent="0.3"/>
  <cols>
    <col min="1" max="1" width="3.33203125" customWidth="1"/>
    <col min="2" max="2" width="36.77734375" customWidth="1"/>
    <col min="3" max="3" width="11.77734375" bestFit="1" customWidth="1"/>
    <col min="4" max="9" width="11.77734375" customWidth="1"/>
  </cols>
  <sheetData>
    <row r="1" spans="2:9" ht="15" thickBot="1" x14ac:dyDescent="0.35"/>
    <row r="2" spans="2:9" ht="18.600000000000001" thickBot="1" x14ac:dyDescent="0.4">
      <c r="B2" s="72" t="s">
        <v>0</v>
      </c>
      <c r="C2" s="73"/>
      <c r="D2" s="73"/>
      <c r="E2" s="73"/>
      <c r="F2" s="73"/>
      <c r="G2" s="73"/>
      <c r="H2" s="73"/>
      <c r="I2" s="74"/>
    </row>
    <row r="3" spans="2:9" x14ac:dyDescent="0.3">
      <c r="B3" s="2"/>
      <c r="C3" s="7" t="s">
        <v>22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11</v>
      </c>
    </row>
    <row r="4" spans="2:9" x14ac:dyDescent="0.3">
      <c r="B4" s="3" t="s">
        <v>1</v>
      </c>
      <c r="C4" s="36"/>
      <c r="D4" s="49">
        <f>(D5*D7)+D8</f>
        <v>220</v>
      </c>
      <c r="E4" s="49">
        <f t="shared" ref="E4:I4" si="0">(E5*E7)+E8</f>
        <v>6620</v>
      </c>
      <c r="F4" s="49">
        <f t="shared" si="0"/>
        <v>11620</v>
      </c>
      <c r="G4" s="49">
        <f t="shared" si="0"/>
        <v>19220</v>
      </c>
      <c r="H4" s="49">
        <f t="shared" si="0"/>
        <v>25220</v>
      </c>
      <c r="I4" s="49">
        <f t="shared" si="0"/>
        <v>115220</v>
      </c>
    </row>
    <row r="5" spans="2:9" x14ac:dyDescent="0.3">
      <c r="B5" s="4" t="s">
        <v>31</v>
      </c>
      <c r="C5" s="37"/>
      <c r="D5" s="41">
        <v>1</v>
      </c>
      <c r="E5" s="41">
        <v>30</v>
      </c>
      <c r="F5" s="41">
        <v>50</v>
      </c>
      <c r="G5" s="41">
        <v>80</v>
      </c>
      <c r="H5" s="41">
        <v>100</v>
      </c>
      <c r="I5" s="41">
        <v>500</v>
      </c>
    </row>
    <row r="6" spans="2:9" x14ac:dyDescent="0.3">
      <c r="B6" s="4" t="s">
        <v>32</v>
      </c>
      <c r="C6" s="37"/>
      <c r="D6" s="57">
        <f>C6+D5</f>
        <v>1</v>
      </c>
      <c r="E6" s="57">
        <f t="shared" ref="E6:I6" si="1">D6+E5</f>
        <v>31</v>
      </c>
      <c r="F6" s="57">
        <f t="shared" si="1"/>
        <v>81</v>
      </c>
      <c r="G6" s="57">
        <f t="shared" si="1"/>
        <v>161</v>
      </c>
      <c r="H6" s="57">
        <f t="shared" si="1"/>
        <v>261</v>
      </c>
      <c r="I6" s="57">
        <f t="shared" si="1"/>
        <v>761</v>
      </c>
    </row>
    <row r="7" spans="2:9" x14ac:dyDescent="0.3">
      <c r="B7" s="4" t="s">
        <v>40</v>
      </c>
      <c r="C7" s="61">
        <v>200</v>
      </c>
      <c r="D7" s="46">
        <v>200</v>
      </c>
      <c r="E7" s="46">
        <v>200</v>
      </c>
      <c r="F7" s="46">
        <v>200</v>
      </c>
      <c r="G7" s="46">
        <v>200</v>
      </c>
      <c r="H7" s="46">
        <v>200</v>
      </c>
      <c r="I7" s="46">
        <v>200</v>
      </c>
    </row>
    <row r="8" spans="2:9" x14ac:dyDescent="0.3">
      <c r="B8" s="4" t="s">
        <v>33</v>
      </c>
      <c r="C8" s="58">
        <v>20</v>
      </c>
      <c r="D8" s="46">
        <f>D6*$C$8</f>
        <v>20</v>
      </c>
      <c r="E8" s="46">
        <f t="shared" ref="E8:I8" si="2">E6*$C$8</f>
        <v>620</v>
      </c>
      <c r="F8" s="46">
        <f t="shared" si="2"/>
        <v>1620</v>
      </c>
      <c r="G8" s="46">
        <f t="shared" si="2"/>
        <v>3220</v>
      </c>
      <c r="H8" s="46">
        <f t="shared" si="2"/>
        <v>5220</v>
      </c>
      <c r="I8" s="46">
        <f t="shared" si="2"/>
        <v>15220</v>
      </c>
    </row>
    <row r="9" spans="2:9" x14ac:dyDescent="0.3">
      <c r="B9" s="4"/>
      <c r="C9" s="37"/>
      <c r="D9" s="1"/>
      <c r="E9" s="1"/>
      <c r="F9" s="1"/>
      <c r="G9" s="1"/>
      <c r="H9" s="1"/>
      <c r="I9" s="1"/>
    </row>
    <row r="10" spans="2:9" x14ac:dyDescent="0.3">
      <c r="B10" s="3" t="s">
        <v>7</v>
      </c>
      <c r="C10" s="36"/>
      <c r="D10" s="49">
        <f>SUM(D11:D13)</f>
        <v>54</v>
      </c>
      <c r="E10" s="49">
        <f t="shared" ref="E10:I10" si="3">SUM(E11:E13)</f>
        <v>1620</v>
      </c>
      <c r="F10" s="49">
        <f t="shared" si="3"/>
        <v>2700</v>
      </c>
      <c r="G10" s="49">
        <f t="shared" si="3"/>
        <v>4320</v>
      </c>
      <c r="H10" s="49">
        <f t="shared" si="3"/>
        <v>5400</v>
      </c>
      <c r="I10" s="49">
        <f t="shared" si="3"/>
        <v>27000</v>
      </c>
    </row>
    <row r="11" spans="2:9" x14ac:dyDescent="0.3">
      <c r="B11" s="60" t="s">
        <v>29</v>
      </c>
      <c r="C11" s="46">
        <v>4</v>
      </c>
      <c r="D11" s="46">
        <f>D5*$C$11</f>
        <v>4</v>
      </c>
      <c r="E11" s="46">
        <f t="shared" ref="E11:I11" si="4">E5*$C$11</f>
        <v>120</v>
      </c>
      <c r="F11" s="46">
        <f t="shared" si="4"/>
        <v>200</v>
      </c>
      <c r="G11" s="46">
        <f t="shared" si="4"/>
        <v>320</v>
      </c>
      <c r="H11" s="46">
        <f t="shared" si="4"/>
        <v>400</v>
      </c>
      <c r="I11" s="46">
        <f t="shared" si="4"/>
        <v>2000</v>
      </c>
    </row>
    <row r="12" spans="2:9" x14ac:dyDescent="0.3">
      <c r="B12" s="60" t="s">
        <v>39</v>
      </c>
      <c r="C12" s="46">
        <v>50</v>
      </c>
      <c r="D12" s="46">
        <f>D5*$C$12</f>
        <v>50</v>
      </c>
      <c r="E12" s="46">
        <f t="shared" ref="E12:I12" si="5">E5*$C$12</f>
        <v>1500</v>
      </c>
      <c r="F12" s="46">
        <f t="shared" si="5"/>
        <v>2500</v>
      </c>
      <c r="G12" s="46">
        <f t="shared" si="5"/>
        <v>4000</v>
      </c>
      <c r="H12" s="46">
        <f t="shared" si="5"/>
        <v>5000</v>
      </c>
      <c r="I12" s="46">
        <f t="shared" si="5"/>
        <v>25000</v>
      </c>
    </row>
    <row r="13" spans="2:9" x14ac:dyDescent="0.3">
      <c r="B13" s="60"/>
      <c r="C13" s="37"/>
      <c r="D13" s="1"/>
      <c r="E13" s="1"/>
      <c r="F13" s="1"/>
      <c r="G13" s="1"/>
      <c r="H13" s="1"/>
      <c r="I13" s="1"/>
    </row>
    <row r="14" spans="2:9" x14ac:dyDescent="0.3">
      <c r="B14" s="5" t="s">
        <v>8</v>
      </c>
      <c r="C14" s="38"/>
      <c r="D14" s="50">
        <f t="shared" ref="D14:I14" si="6">D4-D10</f>
        <v>166</v>
      </c>
      <c r="E14" s="50">
        <f t="shared" si="6"/>
        <v>5000</v>
      </c>
      <c r="F14" s="50">
        <f t="shared" si="6"/>
        <v>8920</v>
      </c>
      <c r="G14" s="50">
        <f t="shared" si="6"/>
        <v>14900</v>
      </c>
      <c r="H14" s="50">
        <f t="shared" si="6"/>
        <v>19820</v>
      </c>
      <c r="I14" s="50">
        <f t="shared" si="6"/>
        <v>88220</v>
      </c>
    </row>
    <row r="15" spans="2:9" x14ac:dyDescent="0.3">
      <c r="B15" s="4"/>
      <c r="C15" s="37"/>
      <c r="D15" s="1"/>
      <c r="E15" s="1"/>
      <c r="F15" s="1"/>
      <c r="G15" s="1"/>
      <c r="H15" s="1"/>
      <c r="I15" s="1"/>
    </row>
    <row r="16" spans="2:9" x14ac:dyDescent="0.3">
      <c r="B16" s="3" t="s">
        <v>9</v>
      </c>
      <c r="C16" s="36">
        <f>SUM(C17:C22)</f>
        <v>0</v>
      </c>
      <c r="D16" s="52">
        <f t="shared" ref="D16:I16" si="7">SUM(D17:D22)</f>
        <v>11000</v>
      </c>
      <c r="E16" s="52">
        <f t="shared" si="7"/>
        <v>11000</v>
      </c>
      <c r="F16" s="52">
        <f t="shared" si="7"/>
        <v>11000</v>
      </c>
      <c r="G16" s="52">
        <f t="shared" si="7"/>
        <v>11000</v>
      </c>
      <c r="H16" s="52">
        <f t="shared" si="7"/>
        <v>11000</v>
      </c>
      <c r="I16" s="52">
        <f t="shared" si="7"/>
        <v>11000</v>
      </c>
    </row>
    <row r="17" spans="2:9" x14ac:dyDescent="0.3">
      <c r="B17" s="60" t="s">
        <v>28</v>
      </c>
      <c r="C17" s="37"/>
      <c r="D17" s="46">
        <v>2000</v>
      </c>
      <c r="E17" s="46">
        <v>2000</v>
      </c>
      <c r="F17" s="46">
        <v>2000</v>
      </c>
      <c r="G17" s="46">
        <v>2000</v>
      </c>
      <c r="H17" s="46">
        <v>2000</v>
      </c>
      <c r="I17" s="46">
        <v>2000</v>
      </c>
    </row>
    <row r="18" spans="2:9" x14ac:dyDescent="0.3">
      <c r="B18" s="60" t="s">
        <v>13</v>
      </c>
      <c r="C18" s="37"/>
      <c r="D18" s="46">
        <v>7000</v>
      </c>
      <c r="E18" s="46">
        <v>7000</v>
      </c>
      <c r="F18" s="46">
        <v>7000</v>
      </c>
      <c r="G18" s="46">
        <v>7000</v>
      </c>
      <c r="H18" s="46">
        <v>7000</v>
      </c>
      <c r="I18" s="46">
        <v>7000</v>
      </c>
    </row>
    <row r="19" spans="2:9" x14ac:dyDescent="0.3">
      <c r="B19" s="60" t="s">
        <v>12</v>
      </c>
      <c r="C19" s="37"/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</row>
    <row r="20" spans="2:9" x14ac:dyDescent="0.3">
      <c r="B20" s="60" t="s">
        <v>34</v>
      </c>
      <c r="C20" s="37"/>
      <c r="D20" s="53">
        <v>2000</v>
      </c>
      <c r="E20" s="53">
        <v>2000</v>
      </c>
      <c r="F20" s="53">
        <v>2000</v>
      </c>
      <c r="G20" s="53">
        <v>2000</v>
      </c>
      <c r="H20" s="53">
        <v>2000</v>
      </c>
      <c r="I20" s="53">
        <v>2000</v>
      </c>
    </row>
    <row r="21" spans="2:9" x14ac:dyDescent="0.3">
      <c r="B21" s="60"/>
      <c r="C21" s="37"/>
      <c r="D21" s="53"/>
      <c r="E21" s="1"/>
      <c r="F21" s="1"/>
      <c r="G21" s="1"/>
      <c r="H21" s="1"/>
      <c r="I21" s="1"/>
    </row>
    <row r="22" spans="2:9" x14ac:dyDescent="0.3">
      <c r="B22" s="4"/>
      <c r="C22" s="37"/>
      <c r="D22" s="53"/>
      <c r="E22" s="1"/>
      <c r="F22" s="1"/>
      <c r="G22" s="1"/>
      <c r="H22" s="1"/>
      <c r="I22" s="1"/>
    </row>
    <row r="23" spans="2:9" ht="15" thickBot="1" x14ac:dyDescent="0.35">
      <c r="B23" s="34" t="s">
        <v>20</v>
      </c>
      <c r="C23" s="39"/>
      <c r="D23" s="51">
        <f>D14-D16</f>
        <v>-10834</v>
      </c>
      <c r="E23" s="51">
        <f t="shared" ref="E23:I23" si="8">E14-E16</f>
        <v>-6000</v>
      </c>
      <c r="F23" s="51">
        <f t="shared" si="8"/>
        <v>-2080</v>
      </c>
      <c r="G23" s="51">
        <f t="shared" si="8"/>
        <v>3900</v>
      </c>
      <c r="H23" s="51">
        <f t="shared" si="8"/>
        <v>8820</v>
      </c>
      <c r="I23" s="51">
        <f t="shared" si="8"/>
        <v>77220</v>
      </c>
    </row>
    <row r="24" spans="2:9" ht="15" thickBot="1" x14ac:dyDescent="0.35">
      <c r="B24" s="35" t="s">
        <v>19</v>
      </c>
      <c r="C24" s="40"/>
      <c r="D24" s="54">
        <f>D23</f>
        <v>-10834</v>
      </c>
      <c r="E24" s="56">
        <f>D24+E23</f>
        <v>-16834</v>
      </c>
      <c r="F24" s="55">
        <f t="shared" ref="F24:I24" si="9">E24+F23</f>
        <v>-18914</v>
      </c>
      <c r="G24" s="54">
        <f t="shared" si="9"/>
        <v>-15014</v>
      </c>
      <c r="H24" s="54">
        <f t="shared" si="9"/>
        <v>-6194</v>
      </c>
      <c r="I24" s="59">
        <f t="shared" si="9"/>
        <v>71026</v>
      </c>
    </row>
  </sheetData>
  <mergeCells count="1">
    <mergeCell ref="B2:I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A8EC-A51E-4214-8C82-316EC0739A2B}">
  <dimension ref="B1:I25"/>
  <sheetViews>
    <sheetView zoomScale="120" zoomScaleNormal="120" workbookViewId="0">
      <selection activeCell="E24" sqref="E24"/>
    </sheetView>
  </sheetViews>
  <sheetFormatPr defaultRowHeight="14.4" x14ac:dyDescent="0.3"/>
  <cols>
    <col min="1" max="1" width="3.33203125" customWidth="1"/>
    <col min="2" max="2" width="36.77734375" customWidth="1"/>
    <col min="3" max="3" width="11.77734375" bestFit="1" customWidth="1"/>
    <col min="4" max="9" width="11.77734375" customWidth="1"/>
  </cols>
  <sheetData>
    <row r="1" spans="2:9" ht="15" thickBot="1" x14ac:dyDescent="0.35"/>
    <row r="2" spans="2:9" ht="18.600000000000001" thickBot="1" x14ac:dyDescent="0.4">
      <c r="B2" s="72" t="s">
        <v>0</v>
      </c>
      <c r="C2" s="73"/>
      <c r="D2" s="73"/>
      <c r="E2" s="73"/>
      <c r="F2" s="73"/>
      <c r="G2" s="73"/>
      <c r="H2" s="73"/>
      <c r="I2" s="74"/>
    </row>
    <row r="3" spans="2:9" x14ac:dyDescent="0.3">
      <c r="B3" s="2"/>
      <c r="C3" s="7" t="s">
        <v>22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11</v>
      </c>
    </row>
    <row r="4" spans="2:9" x14ac:dyDescent="0.3">
      <c r="B4" s="3" t="s">
        <v>1</v>
      </c>
      <c r="C4" s="36"/>
      <c r="D4" s="8">
        <f>D5*D6</f>
        <v>2000</v>
      </c>
      <c r="E4" s="8">
        <f t="shared" ref="E4:I4" si="0">E5*E6</f>
        <v>10000</v>
      </c>
      <c r="F4" s="8">
        <f t="shared" si="0"/>
        <v>16000</v>
      </c>
      <c r="G4" s="8">
        <f t="shared" si="0"/>
        <v>20000</v>
      </c>
      <c r="H4" s="8">
        <f t="shared" si="0"/>
        <v>20000</v>
      </c>
      <c r="I4" s="8">
        <f t="shared" si="0"/>
        <v>20000</v>
      </c>
    </row>
    <row r="5" spans="2:9" x14ac:dyDescent="0.3">
      <c r="B5" s="4" t="s">
        <v>17</v>
      </c>
      <c r="C5" s="37"/>
      <c r="D5" s="9">
        <v>10</v>
      </c>
      <c r="E5" s="9">
        <v>50</v>
      </c>
      <c r="F5" s="9">
        <v>80</v>
      </c>
      <c r="G5" s="9">
        <v>100</v>
      </c>
      <c r="H5" s="9">
        <v>100</v>
      </c>
      <c r="I5" s="9">
        <v>100</v>
      </c>
    </row>
    <row r="6" spans="2:9" x14ac:dyDescent="0.3">
      <c r="B6" s="4" t="s">
        <v>21</v>
      </c>
      <c r="C6" s="46">
        <v>200</v>
      </c>
      <c r="D6" s="9">
        <f>$C$6</f>
        <v>200</v>
      </c>
      <c r="E6" s="9">
        <f t="shared" ref="E6:I6" si="1">$C$6</f>
        <v>200</v>
      </c>
      <c r="F6" s="9">
        <f t="shared" si="1"/>
        <v>200</v>
      </c>
      <c r="G6" s="9">
        <f t="shared" si="1"/>
        <v>200</v>
      </c>
      <c r="H6" s="9">
        <f t="shared" si="1"/>
        <v>200</v>
      </c>
      <c r="I6" s="9">
        <f t="shared" si="1"/>
        <v>200</v>
      </c>
    </row>
    <row r="7" spans="2:9" x14ac:dyDescent="0.3">
      <c r="B7" s="4"/>
      <c r="C7" s="37"/>
      <c r="D7" s="9"/>
      <c r="E7" s="9"/>
      <c r="F7" s="9"/>
      <c r="G7" s="9"/>
      <c r="H7" s="9"/>
      <c r="I7" s="9"/>
    </row>
    <row r="8" spans="2:9" x14ac:dyDescent="0.3">
      <c r="B8" s="3" t="s">
        <v>7</v>
      </c>
      <c r="C8" s="36"/>
      <c r="D8" s="10">
        <f t="shared" ref="D8:I8" si="2">SUM(D9:D10)</f>
        <v>550</v>
      </c>
      <c r="E8" s="10">
        <f t="shared" si="2"/>
        <v>2750</v>
      </c>
      <c r="F8" s="10">
        <f t="shared" si="2"/>
        <v>4400</v>
      </c>
      <c r="G8" s="10">
        <f t="shared" si="2"/>
        <v>5500</v>
      </c>
      <c r="H8" s="10">
        <f t="shared" si="2"/>
        <v>5500</v>
      </c>
      <c r="I8" s="10">
        <f t="shared" si="2"/>
        <v>5500</v>
      </c>
    </row>
    <row r="9" spans="2:9" x14ac:dyDescent="0.3">
      <c r="B9" s="63" t="s">
        <v>37</v>
      </c>
      <c r="C9" s="47">
        <v>50</v>
      </c>
      <c r="D9" s="9">
        <f>D5*$C$9</f>
        <v>500</v>
      </c>
      <c r="E9" s="9">
        <f t="shared" ref="E9:I9" si="3">E5*$C$9</f>
        <v>2500</v>
      </c>
      <c r="F9" s="9">
        <f t="shared" si="3"/>
        <v>4000</v>
      </c>
      <c r="G9" s="9">
        <f t="shared" si="3"/>
        <v>5000</v>
      </c>
      <c r="H9" s="9">
        <f t="shared" si="3"/>
        <v>5000</v>
      </c>
      <c r="I9" s="9">
        <f t="shared" si="3"/>
        <v>5000</v>
      </c>
    </row>
    <row r="10" spans="2:9" x14ac:dyDescent="0.3">
      <c r="B10" s="64" t="s">
        <v>38</v>
      </c>
      <c r="C10" s="46">
        <v>5</v>
      </c>
      <c r="D10" s="9">
        <f>D5*$C$10</f>
        <v>50</v>
      </c>
      <c r="E10" s="9">
        <f t="shared" ref="E10:I10" si="4">E5*$C$10</f>
        <v>250</v>
      </c>
      <c r="F10" s="9">
        <f t="shared" si="4"/>
        <v>400</v>
      </c>
      <c r="G10" s="9">
        <f t="shared" si="4"/>
        <v>500</v>
      </c>
      <c r="H10" s="9">
        <f t="shared" si="4"/>
        <v>500</v>
      </c>
      <c r="I10" s="9">
        <f t="shared" si="4"/>
        <v>500</v>
      </c>
    </row>
    <row r="11" spans="2:9" x14ac:dyDescent="0.3">
      <c r="B11" s="4"/>
      <c r="C11" s="37"/>
      <c r="D11" s="9"/>
      <c r="E11" s="9"/>
      <c r="F11" s="9"/>
      <c r="G11" s="9"/>
      <c r="H11" s="9"/>
      <c r="I11" s="9"/>
    </row>
    <row r="12" spans="2:9" x14ac:dyDescent="0.3">
      <c r="B12" s="5" t="s">
        <v>8</v>
      </c>
      <c r="C12" s="38"/>
      <c r="D12" s="11">
        <f t="shared" ref="D12:I12" si="5">D4-D8</f>
        <v>1450</v>
      </c>
      <c r="E12" s="11">
        <f t="shared" si="5"/>
        <v>7250</v>
      </c>
      <c r="F12" s="11">
        <f t="shared" si="5"/>
        <v>11600</v>
      </c>
      <c r="G12" s="11">
        <f t="shared" si="5"/>
        <v>14500</v>
      </c>
      <c r="H12" s="11">
        <f t="shared" si="5"/>
        <v>14500</v>
      </c>
      <c r="I12" s="11">
        <f t="shared" si="5"/>
        <v>14500</v>
      </c>
    </row>
    <row r="13" spans="2:9" x14ac:dyDescent="0.3">
      <c r="B13" s="4"/>
      <c r="C13" s="37"/>
      <c r="D13" s="9"/>
      <c r="E13" s="9"/>
      <c r="F13" s="9"/>
      <c r="G13" s="9"/>
      <c r="H13" s="9"/>
      <c r="I13" s="9"/>
    </row>
    <row r="14" spans="2:9" x14ac:dyDescent="0.3">
      <c r="B14" s="3" t="s">
        <v>9</v>
      </c>
      <c r="C14" s="36"/>
      <c r="D14" s="10">
        <f>SUM(D15:D18)</f>
        <v>13583.333333333334</v>
      </c>
      <c r="E14" s="10">
        <f t="shared" ref="E14:I14" si="6">SUM(E15:E18)</f>
        <v>13583.333333333334</v>
      </c>
      <c r="F14" s="10">
        <f t="shared" si="6"/>
        <v>13583.333333333334</v>
      </c>
      <c r="G14" s="10">
        <f t="shared" si="6"/>
        <v>13583.333333333334</v>
      </c>
      <c r="H14" s="10">
        <f t="shared" si="6"/>
        <v>13583.333333333334</v>
      </c>
      <c r="I14" s="10">
        <f t="shared" si="6"/>
        <v>13583.333333333334</v>
      </c>
    </row>
    <row r="15" spans="2:9" x14ac:dyDescent="0.3">
      <c r="B15" s="64" t="s">
        <v>12</v>
      </c>
      <c r="C15" s="37"/>
      <c r="D15" s="9">
        <v>2000</v>
      </c>
      <c r="E15" s="9">
        <v>2000</v>
      </c>
      <c r="F15" s="9">
        <v>2000</v>
      </c>
      <c r="G15" s="9">
        <v>2000</v>
      </c>
      <c r="H15" s="9">
        <v>2000</v>
      </c>
      <c r="I15" s="9">
        <v>2000</v>
      </c>
    </row>
    <row r="16" spans="2:9" x14ac:dyDescent="0.3">
      <c r="B16" s="64" t="s">
        <v>13</v>
      </c>
      <c r="C16" s="37"/>
      <c r="D16" s="9">
        <v>9000</v>
      </c>
      <c r="E16" s="9">
        <v>9000</v>
      </c>
      <c r="F16" s="9">
        <v>9000</v>
      </c>
      <c r="G16" s="9">
        <v>9000</v>
      </c>
      <c r="H16" s="9">
        <v>9000</v>
      </c>
      <c r="I16" s="9">
        <v>9000</v>
      </c>
    </row>
    <row r="17" spans="2:9" x14ac:dyDescent="0.3">
      <c r="B17" s="64" t="s">
        <v>18</v>
      </c>
      <c r="C17" s="37"/>
      <c r="D17" s="9">
        <v>500</v>
      </c>
      <c r="E17" s="9">
        <v>500</v>
      </c>
      <c r="F17" s="9">
        <v>500</v>
      </c>
      <c r="G17" s="9">
        <v>500</v>
      </c>
      <c r="H17" s="9">
        <v>500</v>
      </c>
      <c r="I17" s="9">
        <v>500</v>
      </c>
    </row>
    <row r="18" spans="2:9" x14ac:dyDescent="0.3">
      <c r="B18" s="64" t="s">
        <v>24</v>
      </c>
      <c r="C18" s="37"/>
      <c r="D18" s="9">
        <f t="shared" ref="D18:I18" si="7">$C$25</f>
        <v>2083.3333333333335</v>
      </c>
      <c r="E18" s="9">
        <f t="shared" si="7"/>
        <v>2083.3333333333335</v>
      </c>
      <c r="F18" s="9">
        <f t="shared" si="7"/>
        <v>2083.3333333333335</v>
      </c>
      <c r="G18" s="9">
        <f t="shared" si="7"/>
        <v>2083.3333333333335</v>
      </c>
      <c r="H18" s="9">
        <f t="shared" si="7"/>
        <v>2083.3333333333335</v>
      </c>
      <c r="I18" s="9">
        <f t="shared" si="7"/>
        <v>2083.3333333333335</v>
      </c>
    </row>
    <row r="19" spans="2:9" x14ac:dyDescent="0.3">
      <c r="B19" s="4"/>
      <c r="C19" s="37"/>
      <c r="D19" s="9"/>
      <c r="E19" s="9"/>
      <c r="F19" s="9"/>
      <c r="G19" s="9"/>
      <c r="H19" s="9"/>
      <c r="I19" s="9"/>
    </row>
    <row r="20" spans="2:9" ht="15" thickBot="1" x14ac:dyDescent="0.35">
      <c r="B20" s="6" t="s">
        <v>10</v>
      </c>
      <c r="C20" s="39"/>
      <c r="D20" s="12">
        <f>D12-D14</f>
        <v>-12133.333333333334</v>
      </c>
      <c r="E20" s="12">
        <f t="shared" ref="E20:I20" si="8">E12-E14</f>
        <v>-6333.3333333333339</v>
      </c>
      <c r="F20" s="12">
        <f t="shared" si="8"/>
        <v>-1983.3333333333339</v>
      </c>
      <c r="G20" s="12">
        <f t="shared" si="8"/>
        <v>916.66666666666606</v>
      </c>
      <c r="H20" s="12">
        <f t="shared" si="8"/>
        <v>916.66666666666606</v>
      </c>
      <c r="I20" s="12">
        <f t="shared" si="8"/>
        <v>916.66666666666606</v>
      </c>
    </row>
    <row r="21" spans="2:9" ht="15" thickBot="1" x14ac:dyDescent="0.35">
      <c r="B21" s="48" t="s">
        <v>19</v>
      </c>
      <c r="C21" s="40"/>
      <c r="D21" s="44">
        <f>D20</f>
        <v>-12133.333333333334</v>
      </c>
      <c r="E21" s="44">
        <f>D21+E20</f>
        <v>-18466.666666666668</v>
      </c>
      <c r="F21" s="44">
        <f t="shared" ref="F21:I21" si="9">E21+F20</f>
        <v>-20450</v>
      </c>
      <c r="G21" s="44">
        <f t="shared" si="9"/>
        <v>-19533.333333333336</v>
      </c>
      <c r="H21" s="44">
        <f t="shared" si="9"/>
        <v>-18616.666666666672</v>
      </c>
      <c r="I21" s="45">
        <f t="shared" si="9"/>
        <v>-17700.000000000007</v>
      </c>
    </row>
    <row r="23" spans="2:9" x14ac:dyDescent="0.3">
      <c r="B23" s="41" t="s">
        <v>23</v>
      </c>
      <c r="C23" s="42">
        <v>50000</v>
      </c>
    </row>
    <row r="24" spans="2:9" x14ac:dyDescent="0.3">
      <c r="B24" s="1" t="s">
        <v>25</v>
      </c>
      <c r="C24" s="1">
        <v>24</v>
      </c>
    </row>
    <row r="25" spans="2:9" x14ac:dyDescent="0.3">
      <c r="B25" s="41" t="s">
        <v>26</v>
      </c>
      <c r="C25" s="43">
        <f>C23/C24</f>
        <v>2083.3333333333335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1BAA-E0FA-4DAC-BD33-62401521C36A}">
  <dimension ref="B2:L13"/>
  <sheetViews>
    <sheetView zoomScale="145" zoomScaleNormal="145" workbookViewId="0">
      <selection activeCell="E23" sqref="E23"/>
    </sheetView>
  </sheetViews>
  <sheetFormatPr defaultRowHeight="14.4" x14ac:dyDescent="0.3"/>
  <cols>
    <col min="2" max="2" width="9.109375" style="13"/>
    <col min="3" max="3" width="21.77734375" style="14" customWidth="1"/>
    <col min="4" max="4" width="14.21875" customWidth="1"/>
    <col min="5" max="5" width="11.77734375" bestFit="1" customWidth="1"/>
    <col min="10" max="10" width="15.109375" customWidth="1"/>
    <col min="11" max="11" width="14.33203125" customWidth="1"/>
    <col min="12" max="12" width="14.21875" customWidth="1"/>
  </cols>
  <sheetData>
    <row r="2" spans="2:12" x14ac:dyDescent="0.3">
      <c r="C2" s="32" t="s">
        <v>27</v>
      </c>
      <c r="D2" s="33">
        <v>0.105</v>
      </c>
    </row>
    <row r="3" spans="2:12" x14ac:dyDescent="0.3">
      <c r="C3" s="20"/>
      <c r="D3" s="19"/>
    </row>
    <row r="4" spans="2:12" x14ac:dyDescent="0.3">
      <c r="C4" s="14" t="s">
        <v>16</v>
      </c>
      <c r="D4" s="13" t="s">
        <v>15</v>
      </c>
    </row>
    <row r="5" spans="2:12" x14ac:dyDescent="0.3">
      <c r="B5" s="24">
        <v>0</v>
      </c>
      <c r="C5" s="25">
        <v>-1000000</v>
      </c>
      <c r="D5" s="26">
        <f>C5</f>
        <v>-1000000</v>
      </c>
      <c r="I5" s="17"/>
      <c r="J5" s="18"/>
      <c r="K5" s="23"/>
    </row>
    <row r="6" spans="2:12" x14ac:dyDescent="0.3">
      <c r="B6" s="27">
        <v>1</v>
      </c>
      <c r="C6" s="28">
        <v>100000</v>
      </c>
      <c r="D6" s="29">
        <f>D5+C6</f>
        <v>-900000</v>
      </c>
      <c r="I6" s="15"/>
      <c r="J6" s="16"/>
      <c r="K6" s="22"/>
    </row>
    <row r="7" spans="2:12" x14ac:dyDescent="0.3">
      <c r="B7" s="27">
        <v>2</v>
      </c>
      <c r="C7" s="28">
        <v>100000</v>
      </c>
      <c r="D7" s="29">
        <f t="shared" ref="D7:D12" si="0">D6+C7</f>
        <v>-800000</v>
      </c>
      <c r="I7" s="15"/>
      <c r="J7" s="16"/>
      <c r="K7" s="22"/>
    </row>
    <row r="8" spans="2:12" x14ac:dyDescent="0.3">
      <c r="B8" s="27">
        <v>3</v>
      </c>
      <c r="C8" s="28">
        <v>200000</v>
      </c>
      <c r="D8" s="29">
        <f t="shared" si="0"/>
        <v>-600000</v>
      </c>
      <c r="I8" s="15"/>
      <c r="J8" s="16"/>
      <c r="K8" s="22"/>
    </row>
    <row r="9" spans="2:12" x14ac:dyDescent="0.3">
      <c r="B9" s="27">
        <v>4</v>
      </c>
      <c r="C9" s="28">
        <v>150000</v>
      </c>
      <c r="D9" s="29">
        <f t="shared" si="0"/>
        <v>-450000</v>
      </c>
      <c r="I9" s="15"/>
      <c r="J9" s="16"/>
      <c r="K9" s="22"/>
    </row>
    <row r="10" spans="2:12" x14ac:dyDescent="0.3">
      <c r="B10" s="27">
        <v>5</v>
      </c>
      <c r="C10" s="28">
        <v>150000</v>
      </c>
      <c r="D10" s="29">
        <f t="shared" si="0"/>
        <v>-300000</v>
      </c>
      <c r="I10" s="15"/>
      <c r="J10" s="16"/>
      <c r="K10" s="22"/>
    </row>
    <row r="11" spans="2:12" x14ac:dyDescent="0.3">
      <c r="B11" s="27">
        <v>6</v>
      </c>
      <c r="C11" s="28">
        <v>300000</v>
      </c>
      <c r="D11" s="29">
        <f t="shared" si="0"/>
        <v>0</v>
      </c>
      <c r="E11" t="s">
        <v>36</v>
      </c>
      <c r="I11" s="15"/>
      <c r="J11" s="16"/>
      <c r="K11" s="22"/>
    </row>
    <row r="12" spans="2:12" x14ac:dyDescent="0.3">
      <c r="B12" s="27">
        <v>7</v>
      </c>
      <c r="C12" s="28">
        <v>400000</v>
      </c>
      <c r="D12" s="29">
        <f t="shared" si="0"/>
        <v>400000</v>
      </c>
      <c r="E12" s="22"/>
      <c r="I12" s="15"/>
      <c r="J12" s="16"/>
      <c r="K12" s="22"/>
      <c r="L12" s="22"/>
    </row>
    <row r="13" spans="2:12" x14ac:dyDescent="0.3">
      <c r="B13" s="30" t="s">
        <v>14</v>
      </c>
      <c r="C13" s="31">
        <f>NPV(D2,C6:C12)+C5</f>
        <v>-124065.59642459464</v>
      </c>
      <c r="D13" s="1"/>
      <c r="I13" s="13"/>
      <c r="J13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Modelo Venda</vt:lpstr>
      <vt:lpstr>Modelo Serviços e Manutenção</vt:lpstr>
      <vt:lpstr>Simulação Serviços</vt:lpstr>
      <vt:lpstr>Analise de Investimentos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Cordeiro</dc:creator>
  <cp:lastModifiedBy>José Henrique DellOsso Cordeiro</cp:lastModifiedBy>
  <dcterms:created xsi:type="dcterms:W3CDTF">2019-08-05T18:03:39Z</dcterms:created>
  <dcterms:modified xsi:type="dcterms:W3CDTF">2026-08-28T15:18:24Z</dcterms:modified>
</cp:coreProperties>
</file>